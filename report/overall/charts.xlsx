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96fa1f30ae3f8f/CV/PJ3/"/>
    </mc:Choice>
  </mc:AlternateContent>
  <xr:revisionPtr revIDLastSave="38" documentId="8_{04FDE56B-FE1D-4E92-A4AD-84F2BD2F5A8B}" xr6:coauthVersionLast="47" xr6:coauthVersionMax="47" xr10:uidLastSave="{7CAE4548-6495-456E-B46E-00E12B623AEF}"/>
  <bookViews>
    <workbookView xWindow="-108" yWindow="-108" windowWidth="30936" windowHeight="16776" xr2:uid="{24B11876-1D14-4FA2-B16C-01DD63306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H12" i="1"/>
  <c r="I12" i="1"/>
  <c r="I3" i="1"/>
  <c r="I4" i="1"/>
  <c r="I5" i="1"/>
  <c r="I6" i="1"/>
  <c r="I7" i="1"/>
  <c r="I8" i="1"/>
  <c r="I9" i="1"/>
  <c r="I10" i="1"/>
  <c r="I11" i="1"/>
  <c r="I2" i="1"/>
  <c r="E12" i="1"/>
  <c r="F12" i="1"/>
  <c r="D12" i="1"/>
  <c r="C12" i="1"/>
  <c r="B12" i="1"/>
</calcChain>
</file>

<file path=xl/sharedStrings.xml><?xml version="1.0" encoding="utf-8"?>
<sst xmlns="http://schemas.openxmlformats.org/spreadsheetml/2006/main" count="10" uniqueCount="10">
  <si>
    <t>Batch</t>
  </si>
  <si>
    <t>Baseline avg</t>
  </si>
  <si>
    <t>Critic avg</t>
  </si>
  <si>
    <t>Delta</t>
  </si>
  <si>
    <t>L1</t>
  </si>
  <si>
    <t>L3</t>
  </si>
  <si>
    <t>Baseline scored rounds</t>
  </si>
  <si>
    <t>Critic scored rounds</t>
    <phoneticPr fontId="3" type="noConversion"/>
  </si>
  <si>
    <t>Scored rounds difference</t>
    <phoneticPr fontId="3" type="noConversion"/>
  </si>
  <si>
    <t>Overall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</si>
</sst>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Sheet1!$D$2:$D$11</c:f>
              <c:numCache>
                <c:formatCode>General</c:formatCode>
                <c:ptCount val="10"/>
                <c:pt idx="0">
                  <c:v>0.105</c:v>
                </c:pt>
                <c:pt idx="1">
                  <c:v>0.44600000000000001</c:v>
                </c:pt>
                <c:pt idx="2">
                  <c:v>0.5</c:v>
                </c:pt>
                <c:pt idx="3">
                  <c:v>0.84099999999999997</c:v>
                </c:pt>
                <c:pt idx="4">
                  <c:v>0.7</c:v>
                </c:pt>
                <c:pt idx="5">
                  <c:v>-3.3000000000000002E-2</c:v>
                </c:pt>
                <c:pt idx="6">
                  <c:v>0.41699999999999998</c:v>
                </c:pt>
                <c:pt idx="7">
                  <c:v>0.45700000000000002</c:v>
                </c:pt>
                <c:pt idx="8">
                  <c:v>0.22700000000000001</c:v>
                </c:pt>
                <c:pt idx="9">
                  <c:v>0.45800000000000002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408-A7F2-0E50107B88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286127"/>
        <c:axId val="171287087"/>
      </c:barChart>
      <c:catAx>
        <c:axId val="17128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287087"/>
        <c:crosses val="autoZero"/>
        <c:auto val="1"/>
        <c:lblAlgn val="ctr"/>
        <c:lblOffset val="100"/>
        <c:noMultiLvlLbl val="0"/>
      </c:catAx>
      <c:valAx>
        <c:axId val="17128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28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Baseline avg vs Critic avg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Baseline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Sheet1!$B$2:$B$11</c:f>
              <c:numCache>
                <c:formatCode>General</c:formatCode>
                <c:ptCount val="10"/>
                <c:pt idx="0">
                  <c:v>13.5</c:v>
                </c:pt>
                <c:pt idx="1">
                  <c:v>13.87</c:v>
                </c:pt>
                <c:pt idx="2">
                  <c:v>13.371</c:v>
                </c:pt>
                <c:pt idx="3">
                  <c:v>12.288</c:v>
                </c:pt>
                <c:pt idx="4">
                  <c:v>12.69</c:v>
                </c:pt>
                <c:pt idx="5">
                  <c:v>13.85</c:v>
                </c:pt>
                <c:pt idx="6">
                  <c:v>13.211</c:v>
                </c:pt>
                <c:pt idx="7">
                  <c:v>13.587999999999999</c:v>
                </c:pt>
                <c:pt idx="8">
                  <c:v>13.242000000000001</c:v>
                </c:pt>
                <c:pt idx="9">
                  <c:v>13.875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2-4210-8EFA-4F292CDCBC9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Critic 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Sheet1!$C$2:$C$11</c:f>
              <c:numCache>
                <c:formatCode>General</c:formatCode>
                <c:ptCount val="10"/>
                <c:pt idx="0">
                  <c:v>13.605</c:v>
                </c:pt>
                <c:pt idx="1">
                  <c:v>14.316000000000001</c:v>
                </c:pt>
                <c:pt idx="2">
                  <c:v>13.871</c:v>
                </c:pt>
                <c:pt idx="3">
                  <c:v>13.13</c:v>
                </c:pt>
                <c:pt idx="4">
                  <c:v>13.39</c:v>
                </c:pt>
                <c:pt idx="5">
                  <c:v>13.817</c:v>
                </c:pt>
                <c:pt idx="6">
                  <c:v>13.628</c:v>
                </c:pt>
                <c:pt idx="7">
                  <c:v>14.045</c:v>
                </c:pt>
                <c:pt idx="8">
                  <c:v>13.468999999999999</c:v>
                </c:pt>
                <c:pt idx="9">
                  <c:v>14.333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2-4210-8EFA-4F292CDCBC9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98335"/>
        <c:axId val="137700255"/>
      </c:barChart>
      <c:catAx>
        <c:axId val="137698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00255"/>
        <c:crosses val="autoZero"/>
        <c:auto val="1"/>
        <c:lblAlgn val="ctr"/>
        <c:lblOffset val="100"/>
        <c:noMultiLvlLbl val="0"/>
      </c:catAx>
      <c:valAx>
        <c:axId val="1377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69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L1 and L3 trigger counts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Sheet1!$E$2:$E$11</c:f>
              <c:numCache>
                <c:formatCode>General</c:formatCode>
                <c:ptCount val="10"/>
                <c:pt idx="0">
                  <c:v>13</c:v>
                </c:pt>
                <c:pt idx="1">
                  <c:v>3</c:v>
                </c:pt>
                <c:pt idx="2">
                  <c:v>8</c:v>
                </c:pt>
                <c:pt idx="3">
                  <c:v>38</c:v>
                </c:pt>
                <c:pt idx="4">
                  <c:v>20</c:v>
                </c:pt>
                <c:pt idx="5">
                  <c:v>9</c:v>
                </c:pt>
                <c:pt idx="6">
                  <c:v>17</c:v>
                </c:pt>
                <c:pt idx="7">
                  <c:v>11</c:v>
                </c:pt>
                <c:pt idx="8">
                  <c:v>22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9-41D1-B801-D56C572A2833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L3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Sheet1!$F$2:$F$11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9-41D1-B801-D56C572A28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034607"/>
        <c:axId val="211034127"/>
      </c:barChart>
      <c:catAx>
        <c:axId val="211034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034127"/>
        <c:crosses val="autoZero"/>
        <c:auto val="1"/>
        <c:lblAlgn val="ctr"/>
        <c:lblOffset val="100"/>
        <c:noMultiLvlLbl val="0"/>
      </c:catAx>
      <c:valAx>
        <c:axId val="21103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03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Baseline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scored rounds</a:t>
            </a:r>
            <a:r>
              <a:rPr lang="zh-CN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vs Critic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scored rounds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Baseline scored rounds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Sheet1!$G$2:$G$11</c:f>
              <c:numCache>
                <c:formatCode>General</c:formatCode>
                <c:ptCount val="10"/>
                <c:pt idx="0">
                  <c:v>28</c:v>
                </c:pt>
                <c:pt idx="1">
                  <c:v>23</c:v>
                </c:pt>
                <c:pt idx="2">
                  <c:v>35</c:v>
                </c:pt>
                <c:pt idx="3">
                  <c:v>59</c:v>
                </c:pt>
                <c:pt idx="4">
                  <c:v>42</c:v>
                </c:pt>
                <c:pt idx="5">
                  <c:v>60</c:v>
                </c:pt>
                <c:pt idx="6">
                  <c:v>38</c:v>
                </c:pt>
                <c:pt idx="7">
                  <c:v>51</c:v>
                </c:pt>
                <c:pt idx="8">
                  <c:v>62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3-42D1-89EF-70DBAB5F3E6B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Critic scored rounds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Sheet1!$H$2:$H$11</c:f>
              <c:numCache>
                <c:formatCode>General</c:formatCode>
                <c:ptCount val="10"/>
                <c:pt idx="0">
                  <c:v>38</c:v>
                </c:pt>
                <c:pt idx="1">
                  <c:v>19</c:v>
                </c:pt>
                <c:pt idx="2">
                  <c:v>31</c:v>
                </c:pt>
                <c:pt idx="3">
                  <c:v>54</c:v>
                </c:pt>
                <c:pt idx="4">
                  <c:v>41</c:v>
                </c:pt>
                <c:pt idx="5">
                  <c:v>60</c:v>
                </c:pt>
                <c:pt idx="6">
                  <c:v>43</c:v>
                </c:pt>
                <c:pt idx="7">
                  <c:v>44</c:v>
                </c:pt>
                <c:pt idx="8">
                  <c:v>64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3-42D1-89EF-70DBAB5F3E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053599"/>
        <c:axId val="167051679"/>
      </c:barChart>
      <c:catAx>
        <c:axId val="1670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51679"/>
        <c:crosses val="autoZero"/>
        <c:auto val="1"/>
        <c:lblAlgn val="ctr"/>
        <c:lblOffset val="100"/>
        <c:noMultiLvlLbl val="0"/>
      </c:catAx>
      <c:valAx>
        <c:axId val="1670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Scored rounds difference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Sheet1!$I$2:$I$11</c:f>
              <c:numCache>
                <c:formatCode>General</c:formatCode>
                <c:ptCount val="10"/>
                <c:pt idx="0">
                  <c:v>10</c:v>
                </c:pt>
                <c:pt idx="1">
                  <c:v>-4</c:v>
                </c:pt>
                <c:pt idx="2">
                  <c:v>-4</c:v>
                </c:pt>
                <c:pt idx="3">
                  <c:v>-5</c:v>
                </c:pt>
                <c:pt idx="4">
                  <c:v>-1</c:v>
                </c:pt>
                <c:pt idx="5">
                  <c:v>0</c:v>
                </c:pt>
                <c:pt idx="6">
                  <c:v>5</c:v>
                </c:pt>
                <c:pt idx="7">
                  <c:v>-7</c:v>
                </c:pt>
                <c:pt idx="8">
                  <c:v>2</c:v>
                </c:pt>
                <c:pt idx="9">
                  <c:v>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B-422D-8269-4611D62AAA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969423"/>
        <c:axId val="254969903"/>
      </c:barChart>
      <c:catAx>
        <c:axId val="25496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Batch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4969903"/>
        <c:crosses val="autoZero"/>
        <c:auto val="1"/>
        <c:lblAlgn val="ctr"/>
        <c:lblOffset val="100"/>
        <c:noMultiLvlLbl val="0"/>
      </c:catAx>
      <c:valAx>
        <c:axId val="2549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496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361950</xdr:colOff>
      <xdr:row>32</xdr:row>
      <xdr:rowOff>34290</xdr:rowOff>
    </xdr:from>
    <xdr:to>
      <xdr:col>29</xdr:col>
      <xdr:colOff>57150</xdr:colOff>
      <xdr:row>47</xdr:row>
      <xdr:rowOff>148590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40D2F5-D4DA-3421-CA56-C61D0D1F0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491490</xdr:colOff>
      <xdr:row>15</xdr:row>
      <xdr:rowOff>102870</xdr:rowOff>
    </xdr:from>
    <xdr:to>
      <xdr:col>29</xdr:col>
      <xdr:colOff>186690</xdr:colOff>
      <xdr:row>31</xdr:row>
      <xdr:rowOff>41910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40818E6-758D-D1AB-D8E4-F9137BE6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407670</xdr:colOff>
      <xdr:row>0</xdr:row>
      <xdr:rowOff>354330</xdr:rowOff>
    </xdr:from>
    <xdr:to>
      <xdr:col>29</xdr:col>
      <xdr:colOff>102870</xdr:colOff>
      <xdr:row>15</xdr:row>
      <xdr:rowOff>57150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A6CAA62-AE66-B3A3-B6AF-EB3E9F39B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228600</xdr:colOff>
      <xdr:row>0</xdr:row>
      <xdr:rowOff>140970</xdr:rowOff>
    </xdr:from>
    <xdr:to>
      <xdr:col>19</xdr:col>
      <xdr:colOff>533400</xdr:colOff>
      <xdr:row>13</xdr:row>
      <xdr:rowOff>26670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F0F9786-D878-1CE3-FF80-8CCBE4D4B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68580</xdr:colOff>
      <xdr:row>16</xdr:row>
      <xdr:rowOff>102870</xdr:rowOff>
    </xdr:from>
    <xdr:to>
      <xdr:col>19</xdr:col>
      <xdr:colOff>373380</xdr:colOff>
      <xdr:row>32</xdr:row>
      <xdr:rowOff>41910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D8F2C29-D333-2B07-EA54-FEB331AF8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0E73-980D-4EAF-BFED-C8EC0F5E2CCD}">
  <dimension ref="A1:I12"/>
  <sheetViews>
    <sheetView tabSelected="1" workbookViewId="0">
      <selection activeCell="K28" sqref="K28"/>
    </sheetView>
  </sheetViews>
  <sheetFormatPr defaultRowHeight="13.8" x14ac:dyDescent="0.25"/>
  <sheetData>
    <row r="1" spans="1:9" ht="53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thickBot="1" x14ac:dyDescent="0.3">
      <c r="A2" s="2">
        <v>1</v>
      </c>
      <c r="B2" s="2">
        <v>13.5</v>
      </c>
      <c r="C2" s="2">
        <v>13.605</v>
      </c>
      <c r="D2" s="2">
        <v>0.105</v>
      </c>
      <c r="E2" s="2">
        <v>13</v>
      </c>
      <c r="F2" s="2">
        <v>4</v>
      </c>
      <c r="G2" s="2">
        <v>28</v>
      </c>
      <c r="H2" s="2">
        <v>38</v>
      </c>
      <c r="I2" s="2">
        <f>H2-G2</f>
        <v>10</v>
      </c>
    </row>
    <row r="3" spans="1:9" ht="14.4" thickBot="1" x14ac:dyDescent="0.3">
      <c r="A3" s="3">
        <v>2</v>
      </c>
      <c r="B3" s="3">
        <v>13.87</v>
      </c>
      <c r="C3" s="3">
        <v>14.316000000000001</v>
      </c>
      <c r="D3" s="3">
        <v>0.44600000000000001</v>
      </c>
      <c r="E3" s="3">
        <v>3</v>
      </c>
      <c r="F3" s="3">
        <v>1</v>
      </c>
      <c r="G3" s="3">
        <v>23</v>
      </c>
      <c r="H3" s="3">
        <v>19</v>
      </c>
      <c r="I3" s="2">
        <f t="shared" ref="I3:I11" si="0">H3-G3</f>
        <v>-4</v>
      </c>
    </row>
    <row r="4" spans="1:9" ht="14.4" thickBot="1" x14ac:dyDescent="0.3">
      <c r="A4" s="2">
        <v>3</v>
      </c>
      <c r="B4" s="2">
        <v>13.371</v>
      </c>
      <c r="C4" s="2">
        <v>13.871</v>
      </c>
      <c r="D4" s="2">
        <v>0.5</v>
      </c>
      <c r="E4" s="2">
        <v>8</v>
      </c>
      <c r="F4" s="2">
        <v>1</v>
      </c>
      <c r="G4" s="2">
        <v>35</v>
      </c>
      <c r="H4" s="2">
        <v>31</v>
      </c>
      <c r="I4" s="2">
        <f t="shared" si="0"/>
        <v>-4</v>
      </c>
    </row>
    <row r="5" spans="1:9" ht="14.4" thickBot="1" x14ac:dyDescent="0.3">
      <c r="A5" s="3">
        <v>4</v>
      </c>
      <c r="B5" s="3">
        <v>12.288</v>
      </c>
      <c r="C5" s="3">
        <v>13.13</v>
      </c>
      <c r="D5" s="3">
        <v>0.84099999999999997</v>
      </c>
      <c r="E5" s="3">
        <v>38</v>
      </c>
      <c r="F5" s="3">
        <v>1</v>
      </c>
      <c r="G5" s="3">
        <v>59</v>
      </c>
      <c r="H5" s="3">
        <v>54</v>
      </c>
      <c r="I5" s="2">
        <f t="shared" si="0"/>
        <v>-5</v>
      </c>
    </row>
    <row r="6" spans="1:9" ht="14.4" thickBot="1" x14ac:dyDescent="0.3">
      <c r="A6" s="2">
        <v>5</v>
      </c>
      <c r="B6" s="2">
        <v>12.69</v>
      </c>
      <c r="C6" s="2">
        <v>13.39</v>
      </c>
      <c r="D6" s="2">
        <v>0.7</v>
      </c>
      <c r="E6" s="2">
        <v>20</v>
      </c>
      <c r="F6" s="2">
        <v>4</v>
      </c>
      <c r="G6" s="2">
        <v>42</v>
      </c>
      <c r="H6" s="2">
        <v>41</v>
      </c>
      <c r="I6" s="2">
        <f t="shared" si="0"/>
        <v>-1</v>
      </c>
    </row>
    <row r="7" spans="1:9" ht="14.4" thickBot="1" x14ac:dyDescent="0.3">
      <c r="A7" s="3">
        <v>6</v>
      </c>
      <c r="B7" s="3">
        <v>13.85</v>
      </c>
      <c r="C7" s="3">
        <v>13.817</v>
      </c>
      <c r="D7" s="3">
        <v>-3.3000000000000002E-2</v>
      </c>
      <c r="E7" s="3">
        <v>9</v>
      </c>
      <c r="F7" s="3">
        <v>5</v>
      </c>
      <c r="G7" s="3">
        <v>60</v>
      </c>
      <c r="H7" s="3">
        <v>60</v>
      </c>
      <c r="I7" s="2">
        <f t="shared" si="0"/>
        <v>0</v>
      </c>
    </row>
    <row r="8" spans="1:9" ht="14.4" thickBot="1" x14ac:dyDescent="0.3">
      <c r="A8" s="2">
        <v>7</v>
      </c>
      <c r="B8" s="2">
        <v>13.211</v>
      </c>
      <c r="C8" s="2">
        <v>13.628</v>
      </c>
      <c r="D8" s="2">
        <v>0.41699999999999998</v>
      </c>
      <c r="E8" s="2">
        <v>17</v>
      </c>
      <c r="F8" s="2">
        <v>3</v>
      </c>
      <c r="G8" s="2">
        <v>38</v>
      </c>
      <c r="H8" s="2">
        <v>43</v>
      </c>
      <c r="I8" s="2">
        <f t="shared" si="0"/>
        <v>5</v>
      </c>
    </row>
    <row r="9" spans="1:9" ht="14.4" thickBot="1" x14ac:dyDescent="0.3">
      <c r="A9" s="3">
        <v>8</v>
      </c>
      <c r="B9" s="3">
        <v>13.587999999999999</v>
      </c>
      <c r="C9" s="3">
        <v>14.045</v>
      </c>
      <c r="D9" s="3">
        <v>0.45700000000000002</v>
      </c>
      <c r="E9" s="3">
        <v>11</v>
      </c>
      <c r="F9" s="3">
        <v>3</v>
      </c>
      <c r="G9" s="3">
        <v>51</v>
      </c>
      <c r="H9" s="3">
        <v>44</v>
      </c>
      <c r="I9" s="2">
        <f t="shared" si="0"/>
        <v>-7</v>
      </c>
    </row>
    <row r="10" spans="1:9" ht="14.4" thickBot="1" x14ac:dyDescent="0.3">
      <c r="A10" s="2">
        <v>9</v>
      </c>
      <c r="B10" s="2">
        <v>13.242000000000001</v>
      </c>
      <c r="C10" s="2">
        <v>13.468999999999999</v>
      </c>
      <c r="D10" s="2">
        <v>0.22700000000000001</v>
      </c>
      <c r="E10" s="2">
        <v>22</v>
      </c>
      <c r="F10" s="2">
        <v>5</v>
      </c>
      <c r="G10" s="2">
        <v>62</v>
      </c>
      <c r="H10" s="2">
        <v>64</v>
      </c>
      <c r="I10" s="2">
        <f t="shared" si="0"/>
        <v>2</v>
      </c>
    </row>
    <row r="11" spans="1:9" ht="14.4" thickBot="1" x14ac:dyDescent="0.3">
      <c r="A11" s="3">
        <v>10</v>
      </c>
      <c r="B11" s="3">
        <v>13.875</v>
      </c>
      <c r="C11" s="3">
        <v>14.333</v>
      </c>
      <c r="D11" s="3">
        <v>0.45800000000000002</v>
      </c>
      <c r="E11" s="3">
        <v>1</v>
      </c>
      <c r="F11" s="3">
        <v>1</v>
      </c>
      <c r="G11" s="3">
        <v>32</v>
      </c>
      <c r="H11" s="3">
        <v>21</v>
      </c>
      <c r="I11" s="2">
        <f t="shared" si="0"/>
        <v>-11</v>
      </c>
    </row>
    <row r="12" spans="1:9" x14ac:dyDescent="0.25">
      <c r="A12" t="s">
        <v>9</v>
      </c>
      <c r="B12">
        <f>AVERAGE(B2:B11)</f>
        <v>13.348499999999998</v>
      </c>
      <c r="C12">
        <f>AVERAGE(C2:C11)</f>
        <v>13.760400000000001</v>
      </c>
      <c r="D12">
        <f>AVERAGE(D2:D11)</f>
        <v>0.41179999999999994</v>
      </c>
      <c r="E12">
        <f t="shared" ref="E12:G12" si="1">AVERAGE(E2:E11)</f>
        <v>14.2</v>
      </c>
      <c r="F12">
        <f t="shared" si="1"/>
        <v>2.8</v>
      </c>
      <c r="G12">
        <f t="shared" ref="G12" si="2">AVERAGE(G2:G11)</f>
        <v>43</v>
      </c>
      <c r="H12">
        <f t="shared" ref="H12" si="3">AVERAGE(H2:H11)</f>
        <v>41.5</v>
      </c>
      <c r="I12">
        <f t="shared" ref="I12" si="4">AVERAGE(I2:I11)</f>
        <v>-1.5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子轩 沈</dc:creator>
  <cp:lastModifiedBy>子轩 沈</cp:lastModifiedBy>
  <dcterms:created xsi:type="dcterms:W3CDTF">2026-06-08T08:26:15Z</dcterms:created>
  <dcterms:modified xsi:type="dcterms:W3CDTF">2026-06-08T09:15:29Z</dcterms:modified>
</cp:coreProperties>
</file>